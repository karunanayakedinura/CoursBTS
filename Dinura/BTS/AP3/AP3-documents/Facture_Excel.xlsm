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21315" windowHeight="10035" activeTab="4"/>
  </bookViews>
  <sheets>
    <sheet name="Facture" sheetId="1" r:id="rId1"/>
    <sheet name="LIGUES" sheetId="2" r:id="rId2"/>
    <sheet name="prestations" sheetId="3" r:id="rId3"/>
    <sheet name="parametres" sheetId="4" r:id="rId4"/>
    <sheet name="Feuil1" sheetId="5" r:id="rId5"/>
  </sheets>
  <definedNames>
    <definedName name="_xlnm.Print_Area" localSheetId="0">Facture!$A$1:$G$50</definedName>
  </definedNames>
  <calcPr calcId="145621"/>
</workbook>
</file>

<file path=xl/calcChain.xml><?xml version="1.0" encoding="utf-8"?>
<calcChain xmlns="http://schemas.openxmlformats.org/spreadsheetml/2006/main">
  <c r="F24" i="5" l="1"/>
  <c r="C4" i="4" l="1"/>
  <c r="B4" i="4" s="1"/>
  <c r="B5" i="4" s="1"/>
  <c r="C5" i="4" s="1"/>
  <c r="G26" i="1" l="1"/>
  <c r="G24" i="1"/>
  <c r="G22" i="1"/>
  <c r="G40" i="1" s="1"/>
  <c r="G43" i="1" s="1"/>
  <c r="F26" i="1"/>
  <c r="F24" i="1"/>
  <c r="F22" i="1"/>
  <c r="B26" i="1"/>
  <c r="B24" i="1"/>
  <c r="B22" i="1"/>
  <c r="G17" i="1"/>
  <c r="E8" i="1"/>
  <c r="E7" i="1"/>
</calcChain>
</file>

<file path=xl/sharedStrings.xml><?xml version="1.0" encoding="utf-8"?>
<sst xmlns="http://schemas.openxmlformats.org/spreadsheetml/2006/main" count="63" uniqueCount="45">
  <si>
    <t>CROSL</t>
  </si>
  <si>
    <t xml:space="preserve">Maison Régionale des Sports de Lorraine </t>
  </si>
  <si>
    <t>13 rue Jean Moulin</t>
  </si>
  <si>
    <t>BP 70001</t>
  </si>
  <si>
    <t>54510 TOMBLAINE</t>
  </si>
  <si>
    <t>Siret 31740105700029</t>
  </si>
  <si>
    <t>Fax 03.83.18.87.03</t>
  </si>
  <si>
    <r>
      <t xml:space="preserve">Tél </t>
    </r>
    <r>
      <rPr>
        <b/>
        <sz val="11"/>
        <color theme="1"/>
        <rFont val="Calibri"/>
        <family val="2"/>
        <scheme val="minor"/>
      </rPr>
      <t>03.83.18.87.02</t>
    </r>
  </si>
  <si>
    <t>FACTURE</t>
  </si>
  <si>
    <t>Date</t>
  </si>
  <si>
    <t>Numero</t>
  </si>
  <si>
    <t>Code Client</t>
  </si>
  <si>
    <t>Échéance</t>
  </si>
  <si>
    <t>Référence</t>
  </si>
  <si>
    <t>Désignation</t>
  </si>
  <si>
    <t>Qté</t>
  </si>
  <si>
    <t>PU HT</t>
  </si>
  <si>
    <t>Montant TTC</t>
  </si>
  <si>
    <t>Déclaré à la préfecture de Meurthe et Moselle N° 3898</t>
  </si>
  <si>
    <t>Domiciliation bancaire 10278 04065 000 166911045 05</t>
  </si>
  <si>
    <t>Merci de bien vouloir préciser les références de la facture acquittée</t>
  </si>
  <si>
    <t>TVA non applicable</t>
  </si>
  <si>
    <t>MONTANT A PAYER</t>
  </si>
  <si>
    <t>Total TTC</t>
  </si>
  <si>
    <t>Ligue Lorraine Escrime</t>
  </si>
  <si>
    <t>Valérie LAHEURTE</t>
  </si>
  <si>
    <t>Ligue Lorraine de FootBall</t>
  </si>
  <si>
    <t>Pierre LENOIR</t>
  </si>
  <si>
    <t>Ligue Lorraine de Basket</t>
  </si>
  <si>
    <t>Mohamed BOURGARD</t>
  </si>
  <si>
    <t>AFFRAN</t>
  </si>
  <si>
    <t>PHOTOCOULEUR</t>
  </si>
  <si>
    <t>PHOTON&amp;B</t>
  </si>
  <si>
    <t>Affranchissement</t>
  </si>
  <si>
    <t>Photocopies couleur</t>
  </si>
  <si>
    <t>Photocopies Noir et Blanc</t>
  </si>
  <si>
    <t>facture</t>
  </si>
  <si>
    <t>facture suivante</t>
  </si>
  <si>
    <t>FACTURATION</t>
  </si>
  <si>
    <t>Basket</t>
  </si>
  <si>
    <t>Escrime</t>
  </si>
  <si>
    <t>Foot</t>
  </si>
  <si>
    <t>A l'attention de Valérie LAHEURTE</t>
  </si>
  <si>
    <t>TOTAL</t>
  </si>
  <si>
    <t>FC 5174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</si>
</sst>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64" fontId="0" fillId="0" borderId="0" xfId="0" applyNumberForma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 indent="2"/>
    </xf>
    <xf numFmtId="2" fontId="0" fillId="0" borderId="0" xfId="0" applyNumberFormat="1" applyAlignment="1">
      <alignment horizontal="right" indent="2"/>
    </xf>
    <xf numFmtId="44" fontId="0" fillId="0" borderId="0" xfId="1" applyFont="1" applyAlignment="1">
      <alignment horizontal="right" indent="2"/>
    </xf>
    <xf numFmtId="44" fontId="0" fillId="0" borderId="0" xfId="1" applyFont="1"/>
    <xf numFmtId="44" fontId="2" fillId="0" borderId="0" xfId="1" applyFon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right" indent="2"/>
      <protection locked="0"/>
    </xf>
    <xf numFmtId="44" fontId="0" fillId="0" borderId="0" xfId="0" applyNumberFormat="1"/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Range="LIGUES!E$1:$E$3" noThreeD="1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N° facture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180975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Impression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180975</xdr:rowOff>
        </xdr:from>
        <xdr:to>
          <xdr:col>1</xdr:col>
          <xdr:colOff>333375</xdr:colOff>
          <xdr:row>5</xdr:row>
          <xdr:rowOff>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4</xdr:row>
          <xdr:rowOff>9524</xdr:rowOff>
        </xdr:from>
        <xdr:to>
          <xdr:col>6</xdr:col>
          <xdr:colOff>142875</xdr:colOff>
          <xdr:row>5</xdr:row>
          <xdr:rowOff>85725</xdr:rowOff>
        </xdr:to>
        <xdr:sp macro="" textlink="">
          <xdr:nvSpPr>
            <xdr:cNvPr id="5122" name="toto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25</xdr:row>
          <xdr:rowOff>9525</xdr:rowOff>
        </xdr:from>
        <xdr:to>
          <xdr:col>3</xdr:col>
          <xdr:colOff>495300</xdr:colOff>
          <xdr:row>26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25</xdr:row>
          <xdr:rowOff>9525</xdr:rowOff>
        </xdr:from>
        <xdr:to>
          <xdr:col>5</xdr:col>
          <xdr:colOff>466725</xdr:colOff>
          <xdr:row>26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Annuler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G50"/>
  <sheetViews>
    <sheetView workbookViewId="0">
      <selection activeCell="C17" sqref="C17"/>
    </sheetView>
  </sheetViews>
  <sheetFormatPr baseColWidth="10" defaultRowHeight="15" x14ac:dyDescent="0.25"/>
  <cols>
    <col min="6" max="6" width="13.28515625" bestFit="1" customWidth="1"/>
    <col min="7" max="7" width="17.7109375" customWidth="1"/>
  </cols>
  <sheetData>
    <row r="1" spans="1:7" x14ac:dyDescent="0.25">
      <c r="A1" t="s">
        <v>0</v>
      </c>
    </row>
    <row r="3" spans="1:7" x14ac:dyDescent="0.25">
      <c r="A3" t="s">
        <v>1</v>
      </c>
    </row>
    <row r="4" spans="1:7" x14ac:dyDescent="0.25">
      <c r="A4" t="s">
        <v>2</v>
      </c>
    </row>
    <row r="5" spans="1:7" x14ac:dyDescent="0.25">
      <c r="A5" t="s">
        <v>3</v>
      </c>
    </row>
    <row r="6" spans="1:7" x14ac:dyDescent="0.25">
      <c r="A6" s="1" t="s">
        <v>4</v>
      </c>
    </row>
    <row r="7" spans="1:7" x14ac:dyDescent="0.25">
      <c r="E7" s="13" t="str">
        <f>VLOOKUP(E17,LIGUES!$A$1:$C$3,2)</f>
        <v>Ligue Lorraine Escrime</v>
      </c>
    </row>
    <row r="8" spans="1:7" x14ac:dyDescent="0.25">
      <c r="A8" t="s">
        <v>5</v>
      </c>
      <c r="E8" s="13" t="str">
        <f>"A l'attention de "&amp;VLOOKUP(E17,LIGUES!$A$1:$C$3,3)</f>
        <v>A l'attention de Valérie LAHEURTE</v>
      </c>
    </row>
    <row r="9" spans="1:7" x14ac:dyDescent="0.25">
      <c r="A9" t="s">
        <v>7</v>
      </c>
      <c r="E9" t="s">
        <v>1</v>
      </c>
    </row>
    <row r="10" spans="1:7" x14ac:dyDescent="0.25">
      <c r="A10" t="s">
        <v>6</v>
      </c>
      <c r="E10" t="s">
        <v>2</v>
      </c>
    </row>
    <row r="11" spans="1:7" x14ac:dyDescent="0.25">
      <c r="E11" s="1" t="s">
        <v>4</v>
      </c>
    </row>
    <row r="14" spans="1:7" ht="15.75" x14ac:dyDescent="0.25">
      <c r="A14" s="2" t="s">
        <v>8</v>
      </c>
    </row>
    <row r="16" spans="1:7" x14ac:dyDescent="0.25">
      <c r="A16" t="s">
        <v>9</v>
      </c>
      <c r="C16" t="s">
        <v>10</v>
      </c>
      <c r="E16" t="s">
        <v>11</v>
      </c>
      <c r="G16" t="s">
        <v>12</v>
      </c>
    </row>
    <row r="17" spans="1:7" x14ac:dyDescent="0.25">
      <c r="A17" s="12">
        <v>40951</v>
      </c>
      <c r="C17" s="13" t="s">
        <v>44</v>
      </c>
      <c r="E17" s="13">
        <v>411007</v>
      </c>
      <c r="G17" s="6">
        <f>EOMONTH(A17,0)</f>
        <v>40968</v>
      </c>
    </row>
    <row r="20" spans="1:7" x14ac:dyDescent="0.25">
      <c r="A20" t="s">
        <v>13</v>
      </c>
      <c r="B20" t="s">
        <v>14</v>
      </c>
      <c r="E20" t="s">
        <v>15</v>
      </c>
      <c r="F20" t="s">
        <v>16</v>
      </c>
      <c r="G20" t="s">
        <v>17</v>
      </c>
    </row>
    <row r="22" spans="1:7" x14ac:dyDescent="0.25">
      <c r="A22" s="13" t="s">
        <v>30</v>
      </c>
      <c r="B22" t="str">
        <f>IF(ISBLANK(A22),"",VLOOKUP(A22,prestations!$A$1:$C$3,2))</f>
        <v>Affranchissement</v>
      </c>
      <c r="E22" s="14">
        <v>1</v>
      </c>
      <c r="F22" s="7">
        <f>IF(ISBLANK(A22),"",VLOOKUP(A22,prestations!$A$1:$C$3,3))</f>
        <v>3.33</v>
      </c>
      <c r="G22" s="9">
        <f>IF(ISBLANK(E22),"",E22*F22)</f>
        <v>3.33</v>
      </c>
    </row>
    <row r="23" spans="1:7" x14ac:dyDescent="0.25">
      <c r="E23" s="8"/>
      <c r="G23" s="8"/>
    </row>
    <row r="24" spans="1:7" x14ac:dyDescent="0.25">
      <c r="A24" s="13" t="s">
        <v>31</v>
      </c>
      <c r="B24" t="str">
        <f>IF(ISBLANK(A24),"",VLOOKUP(A24,prestations!$A$1:$C$3,2))</f>
        <v>Photocopies couleur</v>
      </c>
      <c r="E24" s="14">
        <v>166</v>
      </c>
      <c r="F24" s="7">
        <f>IF(ISBLANK(A24),"",VLOOKUP(A24,prestations!$A$1:$C$3,3))</f>
        <v>0.24</v>
      </c>
      <c r="G24" s="9">
        <f>IF(ISBLANK(E24),"",E24*F24)</f>
        <v>39.839999999999996</v>
      </c>
    </row>
    <row r="25" spans="1:7" x14ac:dyDescent="0.25">
      <c r="E25" s="8"/>
      <c r="G25" s="8"/>
    </row>
    <row r="26" spans="1:7" x14ac:dyDescent="0.25">
      <c r="A26" s="13" t="s">
        <v>32</v>
      </c>
      <c r="B26" t="str">
        <f>IF(ISBLANK(A26),"",VLOOKUP(A26,prestations!$A$1:$C$3,2))</f>
        <v>Photocopies Noir et Blanc</v>
      </c>
      <c r="E26" s="14">
        <v>889</v>
      </c>
      <c r="F26" s="7">
        <f>IF(ISBLANK(A26),"",VLOOKUP(A26,prestations!$A$1:$C$3,3))</f>
        <v>5.5E-2</v>
      </c>
      <c r="G26" s="9">
        <f>IF(ISBLANK(E26),"",E26*F26)</f>
        <v>48.895000000000003</v>
      </c>
    </row>
    <row r="40" spans="1:7" x14ac:dyDescent="0.25">
      <c r="F40" s="3" t="s">
        <v>23</v>
      </c>
      <c r="G40" s="10">
        <f>SUM(G22,G24,G26)</f>
        <v>92.064999999999998</v>
      </c>
    </row>
    <row r="43" spans="1:7" x14ac:dyDescent="0.25">
      <c r="F43" s="4" t="s">
        <v>22</v>
      </c>
      <c r="G43" s="11">
        <f>G40</f>
        <v>92.064999999999998</v>
      </c>
    </row>
    <row r="47" spans="1:7" x14ac:dyDescent="0.25">
      <c r="A47" t="s">
        <v>18</v>
      </c>
    </row>
    <row r="48" spans="1:7" x14ac:dyDescent="0.25">
      <c r="A48" t="s">
        <v>19</v>
      </c>
    </row>
    <row r="49" spans="1:1" x14ac:dyDescent="0.25">
      <c r="A49" t="s">
        <v>20</v>
      </c>
    </row>
    <row r="50" spans="1:1" x14ac:dyDescent="0.25">
      <c r="A50" t="s">
        <v>21</v>
      </c>
    </row>
  </sheetData>
  <pageMargins left="0.70866141732283472" right="0" top="0.74803149606299213" bottom="0.74803149606299213" header="0.31496062992125984" footer="0.31496062992125984"/>
  <pageSetup paperSize="9" orientation="portrait" r:id="rId1"/>
  <ignoredErrors>
    <ignoredError sqref="E7:E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°_facture">
                <anchor moveWithCells="1" siz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mpression_facture">
                <anchor moveWithCells="1" sizeWithCells="1">
                  <from>
                    <xdr:col>9</xdr:col>
                    <xdr:colOff>19050</xdr:colOff>
                    <xdr:row>0</xdr:row>
                    <xdr:rowOff>180975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prestations!$A$1:$A$3</xm:f>
          </x14:formula1>
          <xm:sqref>A22 A24 A26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3"/>
  <sheetViews>
    <sheetView workbookViewId="0">
      <selection activeCell="E1" sqref="E1:E3"/>
    </sheetView>
  </sheetViews>
  <sheetFormatPr baseColWidth="10" defaultRowHeight="15" x14ac:dyDescent="0.25"/>
  <cols>
    <col min="2" max="2" width="24.140625" bestFit="1" customWidth="1"/>
    <col min="3" max="3" width="20.5703125" bestFit="1" customWidth="1"/>
  </cols>
  <sheetData>
    <row r="1" spans="1:5" x14ac:dyDescent="0.25">
      <c r="A1">
        <v>411007</v>
      </c>
      <c r="B1" t="s">
        <v>24</v>
      </c>
      <c r="C1" t="s">
        <v>25</v>
      </c>
      <c r="E1" t="s">
        <v>39</v>
      </c>
    </row>
    <row r="2" spans="1:5" x14ac:dyDescent="0.25">
      <c r="A2">
        <v>411008</v>
      </c>
      <c r="B2" t="s">
        <v>26</v>
      </c>
      <c r="C2" t="s">
        <v>27</v>
      </c>
      <c r="E2" t="s">
        <v>40</v>
      </c>
    </row>
    <row r="3" spans="1:5" x14ac:dyDescent="0.25">
      <c r="A3">
        <v>411009</v>
      </c>
      <c r="B3" t="s">
        <v>28</v>
      </c>
      <c r="C3" t="s">
        <v>29</v>
      </c>
      <c r="E3" t="s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3"/>
  <sheetViews>
    <sheetView workbookViewId="0">
      <selection activeCell="D5" sqref="D5"/>
    </sheetView>
  </sheetViews>
  <sheetFormatPr baseColWidth="10" defaultRowHeight="15" x14ac:dyDescent="0.25"/>
  <cols>
    <col min="1" max="1" width="15.42578125" bestFit="1" customWidth="1"/>
    <col min="2" max="2" width="24" bestFit="1" customWidth="1"/>
  </cols>
  <sheetData>
    <row r="1" spans="1:3" x14ac:dyDescent="0.25">
      <c r="A1" t="s">
        <v>30</v>
      </c>
      <c r="B1" t="s">
        <v>33</v>
      </c>
      <c r="C1" s="5">
        <v>3.33</v>
      </c>
    </row>
    <row r="2" spans="1:3" x14ac:dyDescent="0.25">
      <c r="A2" t="s">
        <v>31</v>
      </c>
      <c r="B2" t="s">
        <v>34</v>
      </c>
      <c r="C2" s="5">
        <v>0.24</v>
      </c>
    </row>
    <row r="3" spans="1:3" x14ac:dyDescent="0.25">
      <c r="A3" t="s">
        <v>32</v>
      </c>
      <c r="B3" t="s">
        <v>35</v>
      </c>
      <c r="C3" s="5">
        <v>5.5E-2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4:C5"/>
  <sheetViews>
    <sheetView workbookViewId="0">
      <selection activeCell="C5" sqref="C5"/>
    </sheetView>
  </sheetViews>
  <sheetFormatPr baseColWidth="10" defaultRowHeight="15" x14ac:dyDescent="0.25"/>
  <cols>
    <col min="1" max="1" width="15.7109375" customWidth="1"/>
  </cols>
  <sheetData>
    <row r="4" spans="1:3" x14ac:dyDescent="0.25">
      <c r="A4" t="s">
        <v>36</v>
      </c>
      <c r="B4">
        <f>VALUE(MID(C4,4,6))</f>
        <v>5174</v>
      </c>
      <c r="C4" t="str">
        <f>Facture!C17</f>
        <v>FC 5174</v>
      </c>
    </row>
    <row r="5" spans="1:3" x14ac:dyDescent="0.25">
      <c r="A5" t="s">
        <v>37</v>
      </c>
      <c r="B5">
        <f>B4+1</f>
        <v>5175</v>
      </c>
      <c r="C5" t="str">
        <f>"FC "&amp;B5</f>
        <v>FC 5175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F24"/>
  <sheetViews>
    <sheetView showGridLines="0" showRowColHeaders="0" tabSelected="1" workbookViewId="0">
      <selection activeCell="E30" sqref="E30"/>
    </sheetView>
  </sheetViews>
  <sheetFormatPr baseColWidth="10" defaultRowHeight="15" x14ac:dyDescent="0.25"/>
  <sheetData>
    <row r="1" spans="1:6" x14ac:dyDescent="0.25">
      <c r="A1" t="s">
        <v>0</v>
      </c>
    </row>
    <row r="2" spans="1:6" x14ac:dyDescent="0.25">
      <c r="A2" t="s">
        <v>38</v>
      </c>
    </row>
    <row r="7" spans="1:6" x14ac:dyDescent="0.25">
      <c r="D7" s="13" t="s">
        <v>24</v>
      </c>
    </row>
    <row r="8" spans="1:6" x14ac:dyDescent="0.25">
      <c r="D8" s="13" t="s">
        <v>42</v>
      </c>
    </row>
    <row r="9" spans="1:6" x14ac:dyDescent="0.25">
      <c r="D9" t="s">
        <v>1</v>
      </c>
    </row>
    <row r="10" spans="1:6" x14ac:dyDescent="0.25">
      <c r="D10" t="s">
        <v>2</v>
      </c>
    </row>
    <row r="11" spans="1:6" x14ac:dyDescent="0.25">
      <c r="D11" s="1" t="s">
        <v>4</v>
      </c>
    </row>
    <row r="15" spans="1:6" x14ac:dyDescent="0.25">
      <c r="A15" t="s">
        <v>14</v>
      </c>
      <c r="D15" t="s">
        <v>15</v>
      </c>
      <c r="E15" t="s">
        <v>16</v>
      </c>
      <c r="F15" t="s">
        <v>17</v>
      </c>
    </row>
    <row r="17" spans="1:6" x14ac:dyDescent="0.25">
      <c r="A17" t="s">
        <v>33</v>
      </c>
      <c r="D17" s="14">
        <v>1</v>
      </c>
      <c r="E17" s="7">
        <v>3.33</v>
      </c>
      <c r="F17" s="9">
        <v>3.33</v>
      </c>
    </row>
    <row r="18" spans="1:6" x14ac:dyDescent="0.25">
      <c r="D18" s="8"/>
      <c r="F18" s="8"/>
    </row>
    <row r="19" spans="1:6" x14ac:dyDescent="0.25">
      <c r="A19" t="s">
        <v>34</v>
      </c>
      <c r="D19" s="14">
        <v>166</v>
      </c>
      <c r="E19" s="7">
        <v>0.24</v>
      </c>
      <c r="F19" s="9">
        <v>39.839999999999996</v>
      </c>
    </row>
    <row r="20" spans="1:6" x14ac:dyDescent="0.25">
      <c r="D20" s="8"/>
      <c r="F20" s="8"/>
    </row>
    <row r="21" spans="1:6" x14ac:dyDescent="0.25">
      <c r="A21" t="s">
        <v>35</v>
      </c>
      <c r="D21" s="14">
        <v>889</v>
      </c>
      <c r="E21" s="7">
        <v>5.5E-2</v>
      </c>
      <c r="F21" s="9">
        <v>48.895000000000003</v>
      </c>
    </row>
    <row r="24" spans="1:6" x14ac:dyDescent="0.25">
      <c r="E24" s="1" t="s">
        <v>43</v>
      </c>
      <c r="F24" s="15">
        <f>SUM(F17:F21)</f>
        <v>92.064999999999998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toto">
          <controlPr defaultSize="0" autoLine="0" r:id="rId4">
            <anchor moveWithCells="1">
              <from>
                <xdr:col>2</xdr:col>
                <xdr:colOff>742950</xdr:colOff>
                <xdr:row>4</xdr:row>
                <xdr:rowOff>9525</xdr:rowOff>
              </from>
              <to>
                <xdr:col>6</xdr:col>
                <xdr:colOff>142875</xdr:colOff>
                <xdr:row>5</xdr:row>
                <xdr:rowOff>85725</xdr:rowOff>
              </to>
            </anchor>
          </controlPr>
        </control>
      </mc:Choice>
      <mc:Fallback>
        <control shapeId="5122" r:id="rId3" name="toto"/>
      </mc:Fallback>
    </mc:AlternateContent>
    <mc:AlternateContent xmlns:mc="http://schemas.openxmlformats.org/markup-compatibility/2006">
      <mc:Choice Requires="x14">
        <control shapeId="5121" r:id="rId5" name="Drop Down 1">
          <controlPr defaultSize="0" autoLine="0" autoPict="0">
            <anchor moveWithCells="1">
              <from>
                <xdr:col>0</xdr:col>
                <xdr:colOff>19050</xdr:colOff>
                <xdr:row>3</xdr:row>
                <xdr:rowOff>180975</xdr:rowOff>
              </from>
              <to>
                <xdr:col>1</xdr:col>
                <xdr:colOff>333375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6" name="Button 3">
          <controlPr defaultSize="0" print="0" autoFill="0" autoPict="0" macro="[0]!n°_facture">
            <anchor moveWithCells="1" sizeWithCells="1">
              <from>
                <xdr:col>2</xdr:col>
                <xdr:colOff>19050</xdr:colOff>
                <xdr:row>25</xdr:row>
                <xdr:rowOff>9525</xdr:rowOff>
              </from>
              <to>
                <xdr:col>3</xdr:col>
                <xdr:colOff>495300</xdr:colOff>
                <xdr:row>26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7" name="Button 4">
          <controlPr defaultSize="0" print="0" autoFill="0" autoPict="0" macro="[0]!n°_facture">
            <anchor moveWithCells="1" sizeWithCells="1">
              <from>
                <xdr:col>3</xdr:col>
                <xdr:colOff>752475</xdr:colOff>
                <xdr:row>25</xdr:row>
                <xdr:rowOff>9525</xdr:rowOff>
              </from>
              <to>
                <xdr:col>5</xdr:col>
                <xdr:colOff>466725</xdr:colOff>
                <xdr:row>26</xdr:row>
                <xdr:rowOff>171450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Facture</vt:lpstr>
      <vt:lpstr>LIGUES</vt:lpstr>
      <vt:lpstr>prestations</vt:lpstr>
      <vt:lpstr>parametres</vt:lpstr>
      <vt:lpstr>Feuil1</vt:lpstr>
      <vt:lpstr>Facture!Zone_d_impression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Emmanuelle</dc:creator>
  <cp:lastModifiedBy>Emmanuelle</cp:lastModifiedBy>
  <cp:lastPrinted>2012-01-17T13:15:44Z</cp:lastPrinted>
  <dcterms:created xsi:type="dcterms:W3CDTF">2012-01-12T09:09:01Z</dcterms:created>
  <dcterms:modified xsi:type="dcterms:W3CDTF">2012-01-30T15:18:15Z</dcterms:modified>
</cp:coreProperties>
</file>